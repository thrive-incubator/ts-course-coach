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azazf\Desktop\Thrive Academy\"/>
    </mc:Choice>
  </mc:AlternateContent>
  <xr:revisionPtr revIDLastSave="0" documentId="8_{312C7D9B-3E72-4620-A783-D0E2CBC97BCA}"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Budget Worksheet" sheetId="2" r:id="rId2"/>
  </sheets>
  <definedNames>
    <definedName name="_xlnm.Print_Area" localSheetId="1">'Budget Worksheet'!$A$1:$F$92</definedName>
    <definedName name="_xlnm.Print_Titles" localSheetId="1">'Budget Worksheet'!$1:$1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91" i="2" l="1"/>
  <c r="C92" i="2" s="1"/>
  <c r="B91" i="2"/>
  <c r="D90" i="2"/>
  <c r="E90" i="2" s="1"/>
  <c r="D89" i="2"/>
  <c r="E89" i="2" s="1"/>
  <c r="D88" i="2"/>
  <c r="E88" i="2" s="1"/>
  <c r="D87" i="2"/>
  <c r="E87" i="2" s="1"/>
  <c r="F71" i="2"/>
  <c r="D71" i="2"/>
  <c r="D70" i="2"/>
  <c r="F69" i="2"/>
  <c r="E69" i="2"/>
  <c r="E76" i="2" s="1"/>
  <c r="D69" i="2"/>
  <c r="D76" i="2" s="1"/>
  <c r="E67" i="2"/>
  <c r="C66" i="2"/>
  <c r="D65" i="2"/>
  <c r="D64" i="2"/>
  <c r="D63" i="2"/>
  <c r="D62" i="2"/>
  <c r="D61" i="2"/>
  <c r="D60" i="2"/>
  <c r="D59" i="2"/>
  <c r="D58" i="2"/>
  <c r="E53" i="2"/>
  <c r="D52" i="2"/>
  <c r="D51" i="2"/>
  <c r="D50" i="2"/>
  <c r="D49" i="2"/>
  <c r="D48" i="2"/>
  <c r="D46" i="2"/>
  <c r="D38" i="2"/>
  <c r="E37" i="2"/>
  <c r="E82" i="2" s="1"/>
  <c r="D36" i="2"/>
  <c r="D35" i="2"/>
  <c r="D34" i="2"/>
  <c r="D33" i="2"/>
  <c r="D32" i="2"/>
  <c r="D31" i="2"/>
  <c r="D29" i="2"/>
  <c r="D30" i="2" s="1"/>
  <c r="E24" i="2"/>
  <c r="E78" i="2" s="1"/>
  <c r="D17" i="2"/>
  <c r="C23" i="2" s="1"/>
  <c r="D23" i="2" s="1"/>
  <c r="E25" i="1"/>
  <c r="E21" i="1"/>
  <c r="E20" i="1"/>
  <c r="E91" i="2" l="1"/>
  <c r="D91" i="2"/>
  <c r="B92" i="2"/>
  <c r="D66" i="2"/>
  <c r="D67" i="2" s="1"/>
  <c r="C21" i="2"/>
  <c r="D21" i="2" s="1"/>
  <c r="D24" i="2" s="1"/>
  <c r="C22" i="2"/>
  <c r="D22" i="2" s="1"/>
  <c r="D47" i="2"/>
  <c r="D53" i="2" s="1"/>
  <c r="D37" i="2"/>
  <c r="E75" i="2"/>
  <c r="E77" i="2"/>
  <c r="E79" i="2" s="1"/>
  <c r="D78" i="2" l="1"/>
  <c r="D77" i="2"/>
  <c r="D75" i="2"/>
  <c r="E81" i="2"/>
  <c r="E80" i="2"/>
  <c r="E83" i="2" s="1"/>
  <c r="D82" i="2"/>
  <c r="F39" i="2"/>
  <c r="D39" i="2"/>
  <c r="D79" i="2" l="1"/>
  <c r="D81" i="2"/>
  <c r="D80" i="2"/>
  <c r="D8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55" authorId="0" shapeId="0" xr:uid="{00000000-0006-0000-0100-000001000000}">
      <text>
        <r>
          <rPr>
            <sz val="10"/>
            <rFont val="Arial"/>
            <family val="2"/>
          </rPr>
          <t>Enter the hourly rate paid to faculty for post-launch tasks.</t>
        </r>
      </text>
    </comment>
  </commentList>
</comments>
</file>

<file path=xl/sharedStrings.xml><?xml version="1.0" encoding="utf-8"?>
<sst xmlns="http://schemas.openxmlformats.org/spreadsheetml/2006/main" count="186" uniqueCount="159">
  <si>
    <t>HOW TO COMPLETE THE COURSE BUDGET WORKSHEET</t>
  </si>
  <si>
    <t>Steps</t>
  </si>
  <si>
    <t>1.</t>
  </si>
  <si>
    <t>Fill in Course Information and choose the Course Format (Hybrid or Fully Asynchronous). The format controls the tuition rate and which Phase 2 section counts.</t>
  </si>
  <si>
    <t>2.</t>
  </si>
  <si>
    <t>Enter projected enrollment (# Participants) for each tuition source. The Rate fills in automatically from the format and CE credits; overwrite it only if a different rate applies.</t>
  </si>
  <si>
    <t>3.</t>
  </si>
  <si>
    <t>Phase 1 — Course Building: budget everything needed to build the course. Stay within the $10,000 allocation; the status line turns red if you go over.</t>
  </si>
  <si>
    <t>4.</t>
  </si>
  <si>
    <t>Phase 2 — Course Delivery: if HYBRID, complete section 2A (faculty teaching costs, speakers, session costs). If FULLY ASYNCHRONOUS, complete section 2B: answer Yes/No for each post-launch faculty task, estimate hours, describe scope, and enter the faculty hourly rate.</t>
  </si>
  <si>
    <t>5.</t>
  </si>
  <si>
    <t>Leave the Phase 2 Allocation blank. The management team will enter it after review; the remaining/over-allocation line will then calculate.</t>
  </si>
  <si>
    <t>6.</t>
  </si>
  <si>
    <t>Use the Faculty Director Distribution table to show how build and delivery pay is split among faculty. The check row confirms it matches the salary lines.</t>
  </si>
  <si>
    <t>7.</t>
  </si>
  <si>
    <t>During the year, record actual spending in the YTD Actual column.</t>
  </si>
  <si>
    <t>Legend</t>
  </si>
  <si>
    <t>Example input</t>
  </si>
  <si>
    <t>Yellow cell, blue text = you complete this</t>
  </si>
  <si>
    <t>$1,000</t>
  </si>
  <si>
    <t>White cell, black text = calculated automatically; do not overwrite</t>
  </si>
  <si>
    <t>Not applicable</t>
  </si>
  <si>
    <t>Gray section = does not apply to the selected course format; excluded from totals</t>
  </si>
  <si>
    <t>Phase 2 Allocation</t>
  </si>
  <si>
    <t>Pink = awaiting management team allocation</t>
  </si>
  <si>
    <t>Example entries (for reference only — not included in the budget)</t>
  </si>
  <si>
    <t>Budget Category</t>
  </si>
  <si>
    <t>Quantity</t>
  </si>
  <si>
    <t>Rate</t>
  </si>
  <si>
    <t>FY27 Budget</t>
  </si>
  <si>
    <t>Notes</t>
  </si>
  <si>
    <t>Faculty Director Salaries — Teaching (Hybrid)</t>
  </si>
  <si>
    <t>12 live sessions × $500 per session; split 50/50 between two faculty.</t>
  </si>
  <si>
    <t>Media Production (Phase 1)</t>
  </si>
  <si>
    <t>6 module videos × $350 each for recording and captioning.</t>
  </si>
  <si>
    <t>Post-launch task example (Fully Asynchronous)</t>
  </si>
  <si>
    <t>Task</t>
  </si>
  <si>
    <t>Will Faculty Perform?</t>
  </si>
  <si>
    <t>Est. Hours</t>
  </si>
  <si>
    <t>Budget @ $75/hr</t>
  </si>
  <si>
    <t>Scope &amp; Frequency</t>
  </si>
  <si>
    <t>Monitoring &amp; responding to discussion boards</t>
  </si>
  <si>
    <t>Yes</t>
  </si>
  <si>
    <t>About 2 hours per week during each 10-week open-enrollment window.</t>
  </si>
  <si>
    <t>THRIVE ACADEMY COURSE BUDGET WORKSHEET — FY27</t>
  </si>
  <si>
    <t>Every course is budgeted in two phases. Phase 1 (Course Building) has a fixed $10,000 allocation. Phase 2 (Course Delivery) is allocated by the management team based on course format and complexity. Yellow cells with blue text are for you to complete; all other figures calculate automatically. See the Instructions tab.</t>
  </si>
  <si>
    <t>COURSE INFORMATION</t>
  </si>
  <si>
    <t>Course Title</t>
  </si>
  <si>
    <t>Faculty Director(s)</t>
  </si>
  <si>
    <t>Course Format</t>
  </si>
  <si>
    <t>Target Launch Date</t>
  </si>
  <si>
    <t>BUDGET ALLOCATIONS &amp; RATE ASSUMPTIONS</t>
  </si>
  <si>
    <t>Item</t>
  </si>
  <si>
    <t>Value</t>
  </si>
  <si>
    <t>Source / Notes</t>
  </si>
  <si>
    <t>Phase 1 — Course Building Allocation</t>
  </si>
  <si>
    <t>Fixed allocation per course (provided by Thrive Academy).</t>
  </si>
  <si>
    <t>Phase 2 — Course Delivery Allocation</t>
  </si>
  <si>
    <t>TO BE SET BY MANAGEMENT TEAM based on course format and complexity. Leave blank until assigned.</t>
  </si>
  <si>
    <t>Fringe Benefit Rate</t>
  </si>
  <si>
    <t>Estimated GU fringe rate (from original worksheet).</t>
  </si>
  <si>
    <t>THRIVE Infrastructure Rate</t>
  </si>
  <si>
    <t>Applied to current projected revenue.</t>
  </si>
  <si>
    <t>Administrative Support Rate</t>
  </si>
  <si>
    <t>Assumed to apply to current projected revenue, like infrastructure. Confirm with management team.</t>
  </si>
  <si>
    <t>Tuition per Participant (calculated)</t>
  </si>
  <si>
    <t>Per-CE rate for the selected format × CE credits. Feeds the Rate column in Revenue.</t>
  </si>
  <si>
    <t>REVENUE</t>
  </si>
  <si>
    <t># Participants</t>
  </si>
  <si>
    <t>YTD Actual</t>
  </si>
  <si>
    <t>Projection Notes / Assumptions</t>
  </si>
  <si>
    <t>Employer-Sponsored Tuition</t>
  </si>
  <si>
    <t>Rate defaults to tuition per participant; overwrite if a different rate applies.</t>
  </si>
  <si>
    <t>Self-Pay Tuition</t>
  </si>
  <si>
    <t>Scholarship-Supported Tuition</t>
  </si>
  <si>
    <t>Current Projected Revenue</t>
  </si>
  <si>
    <t>Anticipated Additional Revenue (not included in base budget)</t>
  </si>
  <si>
    <t>PHASE 1 — COURSE BUILDING   (Allocation: $10,000)</t>
  </si>
  <si>
    <t>Faculty Director Salaries — Course Design &amp; Content Development</t>
  </si>
  <si>
    <t>Hours or stipend for building the course. Show how build time is split among faculty in the Faculty Director Distribution table.</t>
  </si>
  <si>
    <t>Fringe Benefits (Phase 1)</t>
  </si>
  <si>
    <t>Calculated: Phase 1 faculty salaries × fringe rate.</t>
  </si>
  <si>
    <t>Subject Matter Experts / Content Contributors</t>
  </si>
  <si>
    <t>Outside experts who help write or review content.</t>
  </si>
  <si>
    <t>Instructional Design Assistance</t>
  </si>
  <si>
    <t>Course mapping, learning objectives, assessment design, LMS build.</t>
  </si>
  <si>
    <t>Media Production</t>
  </si>
  <si>
    <t>Video recording/editing, narration, graphics, captioning.</t>
  </si>
  <si>
    <t>Technology / Software / LMS Setup</t>
  </si>
  <si>
    <t>Licenses, tools, or platform setup needed to build the course.</t>
  </si>
  <si>
    <t>Course Materials &amp; Content Licensing</t>
  </si>
  <si>
    <t>Readings, case studies, images, or other licensed content.</t>
  </si>
  <si>
    <t>Other Build Expenses</t>
  </si>
  <si>
    <t>Describe.</t>
  </si>
  <si>
    <t>Phase 1 Total — Course Building</t>
  </si>
  <si>
    <t>Phase 1 Allocation</t>
  </si>
  <si>
    <t>Phase 1 Remaining / (Over) Allocation</t>
  </si>
  <si>
    <t>PHASE 2 — COURSE DELIVERY   (Allocation: TBD per Management Team)</t>
  </si>
  <si>
    <t>Complete ONLY the section that matches the Course Format selected above: 2A for Hybrid courses, 2B for Fully Asynchronous courses. The section that does not apply is shaded gray and excluded from totals.</t>
  </si>
  <si>
    <t>2A — HYBRID COURSES: Faculty Teaching &amp; Delivery Expenses</t>
  </si>
  <si>
    <t>Faculty Director Salaries — Teaching</t>
  </si>
  <si>
    <t>Quantity = sessions or hours; Rate = pay per session/hour. Indicate how teaching time is shared among faculty.</t>
  </si>
  <si>
    <t>Fringe Benefits (Teaching)</t>
  </si>
  <si>
    <t>Calculated: teaching salaries × fringe rate.</t>
  </si>
  <si>
    <t>Community Speakers / Guest Lecturers (if applicable)</t>
  </si>
  <si>
    <t>Number of speakers × honorarium.</t>
  </si>
  <si>
    <t>Teaching Assistants / Facilitators</t>
  </si>
  <si>
    <t>Support for breakout groups, grading, or live session facilitation.</t>
  </si>
  <si>
    <t>In-Person Session Costs</t>
  </si>
  <si>
    <t>Venue, catering, A/V, parking, printing for live sessions.</t>
  </si>
  <si>
    <t>Participant Course Materials</t>
  </si>
  <si>
    <t>Per-cohort materials, kits, or readings.</t>
  </si>
  <si>
    <t>Other Delivery Expenses</t>
  </si>
  <si>
    <t>Subtotal — Hybrid Delivery</t>
  </si>
  <si>
    <t>2B — FULLY ASYNCHRONOUS COURSES: Post-Launch Faculty Tasks</t>
  </si>
  <si>
    <t>Hourly Rate:</t>
  </si>
  <si>
    <t>← Faculty hourly rate for post-launch work</t>
  </si>
  <si>
    <t>Once the course is live, will faculty perform any of the tasks below? Select Yes or No for each, estimate the hours for the delivery period, and describe the scope and frequency. Answer No if faculty will not be involved after launch.</t>
  </si>
  <si>
    <t>Post-Launch Faculty Task</t>
  </si>
  <si>
    <t>Scope &amp; Frequency (e.g., weekly, per cohort, annually)</t>
  </si>
  <si>
    <t>Answering learner questions (email / messages)</t>
  </si>
  <si>
    <t>Grading assignments or reviewing assessments</t>
  </si>
  <si>
    <t>Virtual office hours or optional live Q&amp;A</t>
  </si>
  <si>
    <t>Reviewing completion / certificate eligibility</t>
  </si>
  <si>
    <t>Reviewing learner evaluations &amp; feedback</t>
  </si>
  <si>
    <t>Content review and updates (accuracy, currency)</t>
  </si>
  <si>
    <t>Other faculty task (describe)</t>
  </si>
  <si>
    <t>Fringe Benefits (Post-Launch Faculty Tasks)</t>
  </si>
  <si>
    <t>Calculated: post-launch faculty task costs × fringe rate. Column C shows total faculty hours.</t>
  </si>
  <si>
    <t>Subtotal — Fully Asynchronous Delivery</t>
  </si>
  <si>
    <t>Phase 2 Total — Course Delivery (selected format)</t>
  </si>
  <si>
    <t>Phase 2 Allocation (per Management Team)</t>
  </si>
  <si>
    <t>Phase 2 Remaining / (Over) Allocation</t>
  </si>
  <si>
    <t>OPERATING SUMMARY</t>
  </si>
  <si>
    <t>Summary Line</t>
  </si>
  <si>
    <t>Phase 2 — Course Delivery Costs</t>
  </si>
  <si>
    <t>THRIVE Infrastructure</t>
  </si>
  <si>
    <t>Infrastructure rate × current projected revenue.</t>
  </si>
  <si>
    <t>Administrative Support</t>
  </si>
  <si>
    <t>Enrollment/application coordination, student communications, scheduling, faculty/guest logistics, LMS/technology coordination, attendance/completion tracking, evaluation/data, practicum administration, tuition/invoice coordination, and certificate processes.</t>
  </si>
  <si>
    <t>Total Delivery-Year Expenses</t>
  </si>
  <si>
    <t>Projected Operating Balance (Delivery)</t>
  </si>
  <si>
    <t>Revenue less delivery-year expenses, before anticipated additional revenue.</t>
  </si>
  <si>
    <t>Operating Margin (Delivery)</t>
  </si>
  <si>
    <t>Phase 1 — Course Building Investment</t>
  </si>
  <si>
    <t>One-time build cost, funded by the $10,000 Phase 1 allocation.</t>
  </si>
  <si>
    <t>Net Balance After Build Investment</t>
  </si>
  <si>
    <t>Shows whether delivery revenue recovers the build investment.</t>
  </si>
  <si>
    <t>FACULTY DIRECTOR DISTRIBUTION</t>
  </si>
  <si>
    <t>Faculty Director</t>
  </si>
  <si>
    <t>Phase 1 Build Allocation</t>
  </si>
  <si>
    <t>Phase 2 Delivery Allocation</t>
  </si>
  <si>
    <t>Total Allocation</t>
  </si>
  <si>
    <t>Fringe (calc.)</t>
  </si>
  <si>
    <t>Engagement Period / Role (timeframe, build vs. teaching duties)</t>
  </si>
  <si>
    <t>Faculty Director Total</t>
  </si>
  <si>
    <t>Check: matches salary lines above?</t>
  </si>
  <si>
    <t>Phase 2 compares to teaching salaries (Hybrid) or post-launch task costs (Fully Asynchronous).</t>
  </si>
  <si>
    <t>Prepared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</si>
</sst>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quot;($&quot;#,##0\);\-"/>
    <numFmt numFmtId="165" formatCode="0.0"/>
    <numFmt numFmtId="166" formatCode="mm/dd/yyyy"/>
    <numFmt numFmtId="167" formatCode="0.0%;[Red]\-0.0%;\-"/>
  </numFmts>
  <fonts count="11">
    <font>
      <sz val="11"/>
      <color theme="1"/>
      <name val="Calibri"/>
      <family val="2"/>
      <charset val="1"/>
    </font>
    <font>
      <b/>
      <sz val="14"/>
      <color rgb="FFFFFFFF"/>
      <name val="Aptos"/>
      <charset val="1"/>
    </font>
    <font>
      <b/>
      <sz val="12"/>
      <color rgb="FF000000"/>
      <name val="Aptos"/>
      <charset val="1"/>
    </font>
    <font>
      <sz val="12"/>
      <color rgb="FF000000"/>
      <name val="Aptos"/>
      <charset val="1"/>
    </font>
    <font>
      <sz val="12"/>
      <color rgb="FF0000FF"/>
      <name val="Aptos"/>
      <charset val="1"/>
    </font>
    <font>
      <sz val="12"/>
      <color rgb="FFA6A6A6"/>
      <name val="Aptos"/>
      <charset val="1"/>
    </font>
    <font>
      <b/>
      <sz val="12"/>
      <color rgb="FFFFFFFF"/>
      <name val="Aptos"/>
      <charset val="1"/>
    </font>
    <font>
      <i/>
      <sz val="12"/>
      <color rgb="FF404040"/>
      <name val="Aptos"/>
      <charset val="1"/>
    </font>
    <font>
      <sz val="12"/>
      <color rgb="FF404040"/>
      <name val="Aptos"/>
      <charset val="1"/>
    </font>
    <font>
      <i/>
      <sz val="12"/>
      <color rgb="FF000000"/>
      <name val="Aptos"/>
      <charset val="1"/>
    </font>
    <font>
      <sz val="10"/>
      <name val="Arial"/>
      <family val="2"/>
    </font>
  </fonts>
  <fills count="11">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D9D9D9"/>
        <bgColor rgb="FFD9E1F2"/>
      </patternFill>
    </fill>
    <fill>
      <patternFill patternType="solid">
        <fgColor rgb="FFFFC7CE"/>
        <bgColor rgb="FFF4CCCC"/>
      </patternFill>
    </fill>
    <fill>
      <patternFill patternType="solid">
        <fgColor rgb="FFD9E1F2"/>
        <bgColor rgb="FFDDEBF7"/>
      </patternFill>
    </fill>
    <fill>
      <patternFill patternType="solid">
        <fgColor rgb="FFF2F2F2"/>
        <bgColor rgb="FFE2F0D9"/>
      </patternFill>
    </fill>
    <fill>
      <patternFill patternType="solid">
        <fgColor rgb="FFE2F0D9"/>
        <bgColor rgb="FFDDEBF7"/>
      </patternFill>
    </fill>
    <fill>
      <patternFill patternType="solid">
        <fgColor rgb="FFDDEBF7"/>
        <bgColor rgb="FFD9E1F2"/>
      </patternFill>
    </fill>
    <fill>
      <patternFill patternType="solid">
        <fgColor rgb="FFF4CCCC"/>
        <bgColor rgb="FFFFC7C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57">
    <xf numFmtId="0" fontId="0" fillId="0" borderId="0" xfId="0"/>
    <xf numFmtId="0" fontId="2" fillId="9" borderId="1" xfId="0" applyFont="1" applyFill="1" applyBorder="1" applyAlignment="1">
      <alignment vertical="center" wrapText="1"/>
    </xf>
    <xf numFmtId="0" fontId="2" fillId="10" borderId="1" xfId="0" applyFont="1" applyFill="1" applyBorder="1" applyAlignment="1">
      <alignment vertical="center" wrapText="1"/>
    </xf>
    <xf numFmtId="0" fontId="2" fillId="8" borderId="1" xfId="0" applyFont="1" applyFill="1" applyBorder="1" applyAlignment="1">
      <alignment vertical="center" wrapText="1"/>
    </xf>
    <xf numFmtId="166" fontId="4" fillId="3" borderId="1" xfId="0" applyNumberFormat="1" applyFont="1" applyFill="1" applyBorder="1" applyAlignment="1">
      <alignment vertical="center" wrapText="1"/>
    </xf>
    <xf numFmtId="0" fontId="8" fillId="0" borderId="1" xfId="0" applyFont="1" applyBorder="1" applyAlignment="1">
      <alignment vertical="center" wrapText="1"/>
    </xf>
    <xf numFmtId="0" fontId="4" fillId="3" borderId="1" xfId="0" applyFont="1" applyFill="1" applyBorder="1" applyAlignment="1">
      <alignment vertical="center" wrapText="1"/>
    </xf>
    <xf numFmtId="0" fontId="2" fillId="6" borderId="1" xfId="0" applyFont="1" applyFill="1" applyBorder="1" applyAlignment="1">
      <alignment vertical="center" wrapText="1"/>
    </xf>
    <xf numFmtId="0" fontId="7" fillId="0" borderId="2" xfId="0" applyFont="1" applyBorder="1" applyAlignment="1">
      <alignment vertical="center" wrapText="1"/>
    </xf>
    <xf numFmtId="0" fontId="1" fillId="2" borderId="1" xfId="0" applyFont="1" applyFill="1" applyBorder="1" applyAlignment="1">
      <alignment vertical="center" wrapText="1"/>
    </xf>
    <xf numFmtId="0" fontId="3" fillId="0" borderId="0" xfId="0" applyFont="1" applyBorder="1" applyAlignment="1">
      <alignment vertical="top" wrapText="1"/>
    </xf>
    <xf numFmtId="0" fontId="1" fillId="2" borderId="0" xfId="0" applyFont="1" applyFill="1" applyBorder="1" applyAlignment="1">
      <alignment vertical="top" wrapText="1"/>
    </xf>
    <xf numFmtId="0" fontId="2" fillId="0" borderId="0" xfId="0" applyFont="1" applyAlignment="1">
      <alignment vertical="top" wrapText="1"/>
    </xf>
    <xf numFmtId="0" fontId="4" fillId="3" borderId="1" xfId="0" applyFont="1" applyFill="1" applyBorder="1" applyAlignment="1">
      <alignment vertical="top" wrapText="1"/>
    </xf>
    <xf numFmtId="0" fontId="3" fillId="0" borderId="1" xfId="0" applyFont="1" applyBorder="1" applyAlignment="1">
      <alignment vertical="top" wrapText="1"/>
    </xf>
    <xf numFmtId="0" fontId="5" fillId="4" borderId="1" xfId="0" applyFont="1" applyFill="1" applyBorder="1" applyAlignment="1">
      <alignment vertical="top" wrapText="1"/>
    </xf>
    <xf numFmtId="0" fontId="3" fillId="5" borderId="1" xfId="0" applyFont="1" applyFill="1" applyBorder="1" applyAlignment="1">
      <alignment vertical="top" wrapText="1"/>
    </xf>
    <xf numFmtId="0" fontId="6" fillId="2" borderId="1" xfId="0" applyFont="1" applyFill="1" applyBorder="1" applyAlignment="1">
      <alignment vertical="top" wrapText="1"/>
    </xf>
    <xf numFmtId="164" fontId="4" fillId="3" borderId="1" xfId="0" applyNumberFormat="1" applyFont="1" applyFill="1" applyBorder="1" applyAlignment="1">
      <alignment vertical="top" wrapText="1"/>
    </xf>
    <xf numFmtId="164" fontId="3" fillId="0" borderId="1" xfId="0" applyNumberFormat="1" applyFont="1" applyBorder="1" applyAlignment="1">
      <alignment vertical="top" wrapText="1"/>
    </xf>
    <xf numFmtId="0" fontId="2" fillId="0" borderId="1" xfId="0" applyFont="1" applyBorder="1" applyAlignment="1">
      <alignment vertical="center" wrapText="1"/>
    </xf>
    <xf numFmtId="0" fontId="4" fillId="3" borderId="1" xfId="0" applyFont="1" applyFill="1" applyBorder="1" applyAlignment="1">
      <alignment vertical="center" wrapText="1"/>
    </xf>
    <xf numFmtId="0" fontId="8" fillId="0" borderId="1" xfId="0" applyFont="1" applyBorder="1" applyAlignment="1">
      <alignment vertical="center" wrapText="1"/>
    </xf>
    <xf numFmtId="165" fontId="4" fillId="3" borderId="1" xfId="0" applyNumberFormat="1" applyFont="1" applyFill="1" applyBorder="1" applyAlignment="1">
      <alignment vertical="center" wrapText="1"/>
    </xf>
    <xf numFmtId="0" fontId="2"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3" fillId="0" borderId="1" xfId="0" applyFont="1" applyBorder="1" applyAlignment="1">
      <alignment vertical="center" wrapText="1"/>
    </xf>
    <xf numFmtId="164" fontId="4" fillId="3" borderId="1" xfId="0" applyNumberFormat="1" applyFont="1" applyFill="1" applyBorder="1" applyAlignment="1">
      <alignment vertical="center" wrapText="1"/>
    </xf>
    <xf numFmtId="9" fontId="4" fillId="3" borderId="1" xfId="0" applyNumberFormat="1" applyFont="1" applyFill="1" applyBorder="1" applyAlignment="1">
      <alignment vertical="center" wrapText="1"/>
    </xf>
    <xf numFmtId="164" fontId="2" fillId="0" borderId="1" xfId="0" applyNumberFormat="1" applyFont="1" applyBorder="1" applyAlignment="1">
      <alignment vertical="center" wrapText="1"/>
    </xf>
    <xf numFmtId="0" fontId="2" fillId="8" borderId="1" xfId="0" applyFont="1" applyFill="1" applyBorder="1" applyAlignment="1">
      <alignment vertical="center" wrapText="1"/>
    </xf>
    <xf numFmtId="0" fontId="6" fillId="2" borderId="1" xfId="0" applyFont="1" applyFill="1" applyBorder="1" applyAlignment="1">
      <alignment vertical="center" wrapText="1"/>
    </xf>
    <xf numFmtId="0" fontId="6" fillId="2" borderId="1" xfId="0" applyFont="1" applyFill="1" applyBorder="1" applyAlignment="1">
      <alignment horizontal="center" vertical="center" wrapText="1"/>
    </xf>
    <xf numFmtId="1" fontId="4" fillId="3" borderId="1" xfId="0" applyNumberFormat="1" applyFont="1" applyFill="1" applyBorder="1" applyAlignment="1">
      <alignment vertical="center" wrapText="1"/>
    </xf>
    <xf numFmtId="164" fontId="3" fillId="0" borderId="1" xfId="0" applyNumberFormat="1" applyFont="1" applyBorder="1" applyAlignment="1">
      <alignment vertical="center" wrapText="1"/>
    </xf>
    <xf numFmtId="0" fontId="3" fillId="8" borderId="1" xfId="0" applyFont="1" applyFill="1" applyBorder="1" applyAlignment="1">
      <alignment vertical="center" wrapText="1"/>
    </xf>
    <xf numFmtId="164" fontId="2" fillId="8" borderId="1" xfId="0" applyNumberFormat="1" applyFont="1" applyFill="1" applyBorder="1" applyAlignment="1">
      <alignment vertical="center" wrapText="1"/>
    </xf>
    <xf numFmtId="0" fontId="8" fillId="8" borderId="1" xfId="0" applyFont="1" applyFill="1" applyBorder="1" applyAlignment="1">
      <alignment vertical="center" wrapText="1"/>
    </xf>
    <xf numFmtId="0" fontId="3" fillId="9" borderId="1" xfId="0" applyFont="1" applyFill="1" applyBorder="1" applyAlignment="1">
      <alignment vertical="center" wrapText="1"/>
    </xf>
    <xf numFmtId="0" fontId="2" fillId="10" borderId="1" xfId="0" applyFont="1" applyFill="1" applyBorder="1" applyAlignment="1">
      <alignment vertical="center" wrapText="1"/>
    </xf>
    <xf numFmtId="0" fontId="3" fillId="10" borderId="1" xfId="0" applyFont="1" applyFill="1" applyBorder="1" applyAlignment="1">
      <alignment vertical="center" wrapText="1"/>
    </xf>
    <xf numFmtId="164" fontId="2" fillId="10" borderId="1" xfId="0" applyNumberFormat="1" applyFont="1" applyFill="1" applyBorder="1" applyAlignment="1">
      <alignment vertical="center" wrapText="1"/>
    </xf>
    <xf numFmtId="0" fontId="8" fillId="10" borderId="1" xfId="0" applyFont="1" applyFill="1" applyBorder="1" applyAlignment="1">
      <alignment vertical="center" wrapText="1"/>
    </xf>
    <xf numFmtId="0" fontId="3" fillId="7" borderId="1" xfId="0" applyFont="1" applyFill="1" applyBorder="1" applyAlignment="1">
      <alignment vertical="center" wrapText="1"/>
    </xf>
    <xf numFmtId="164" fontId="2" fillId="7" borderId="1" xfId="0" applyNumberFormat="1" applyFont="1" applyFill="1" applyBorder="1" applyAlignment="1">
      <alignment vertical="center" wrapText="1"/>
    </xf>
    <xf numFmtId="0" fontId="8" fillId="7" borderId="1" xfId="0" applyFont="1" applyFill="1" applyBorder="1" applyAlignment="1">
      <alignment vertical="center" wrapText="1"/>
    </xf>
    <xf numFmtId="0" fontId="2" fillId="9" borderId="1" xfId="0" applyFont="1" applyFill="1" applyBorder="1" applyAlignment="1">
      <alignment vertical="center" wrapText="1"/>
    </xf>
    <xf numFmtId="164" fontId="2" fillId="9" borderId="1" xfId="0" applyNumberFormat="1" applyFont="1" applyFill="1" applyBorder="1" applyAlignment="1">
      <alignment vertical="center" wrapText="1"/>
    </xf>
    <xf numFmtId="0" fontId="8" fillId="9" borderId="1" xfId="0" applyFont="1" applyFill="1" applyBorder="1" applyAlignment="1">
      <alignment vertical="center" wrapText="1"/>
    </xf>
    <xf numFmtId="0" fontId="2" fillId="9" borderId="1" xfId="0" applyFont="1" applyFill="1" applyBorder="1" applyAlignment="1">
      <alignment horizontal="right" vertical="center" wrapText="1"/>
    </xf>
    <xf numFmtId="0" fontId="4" fillId="3" borderId="1" xfId="0" applyFont="1" applyFill="1" applyBorder="1" applyAlignment="1">
      <alignment horizontal="center" vertical="center" wrapText="1"/>
    </xf>
    <xf numFmtId="165" fontId="3" fillId="0" borderId="1" xfId="0" applyNumberFormat="1" applyFont="1" applyBorder="1" applyAlignment="1">
      <alignment vertical="center" wrapText="1"/>
    </xf>
    <xf numFmtId="164" fontId="2" fillId="7" borderId="1" xfId="0" applyNumberFormat="1" applyFont="1" applyFill="1" applyBorder="1" applyAlignment="1">
      <alignment horizontal="right" vertical="center"/>
    </xf>
    <xf numFmtId="167" fontId="2" fillId="8" borderId="1" xfId="0" applyNumberFormat="1" applyFont="1" applyFill="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7" fillId="0" borderId="1" xfId="0" applyFont="1" applyBorder="1" applyAlignment="1">
      <alignment vertical="center" wrapText="1"/>
    </xf>
  </cellXfs>
  <cellStyles count="1">
    <cellStyle name="Normal" xfId="0" builtinId="0"/>
  </cellStyles>
  <dxfs count="11">
    <dxf>
      <fill>
        <patternFill>
          <bgColor rgb="FFFFC7CE"/>
        </patternFill>
      </fill>
    </dxf>
    <dxf>
      <font>
        <b/>
        <color rgb="FF006100"/>
      </font>
    </dxf>
    <dxf>
      <font>
        <b/>
        <color rgb="FFC00000"/>
      </font>
    </dxf>
    <dxf>
      <font>
        <b/>
        <color rgb="FF006100"/>
      </font>
    </dxf>
    <dxf>
      <font>
        <b/>
        <color rgb="FFC00000"/>
      </font>
    </dxf>
    <dxf>
      <font>
        <b/>
        <color rgb="FF006100"/>
      </font>
    </dxf>
    <dxf>
      <font>
        <b/>
        <color rgb="FFC00000"/>
      </font>
    </dxf>
    <dxf>
      <font>
        <b/>
        <color rgb="FF006100"/>
      </font>
    </dxf>
    <dxf>
      <font>
        <b/>
        <color rgb="FFC00000"/>
      </font>
    </dxf>
    <dxf>
      <font>
        <color rgb="FFA6A6A6"/>
      </font>
      <fill>
        <patternFill>
          <bgColor rgb="FFD9D9D9"/>
        </patternFill>
      </fill>
    </dxf>
    <dxf>
      <font>
        <color rgb="FFA6A6A6"/>
      </font>
      <fill>
        <patternFill>
          <bgColor rgb="FFD9D9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F0D9"/>
      <rgbColor rgb="FFFFFF99"/>
      <rgbColor rgb="FFD9E1F2"/>
      <rgbColor rgb="FFFFC7CE"/>
      <rgbColor rgb="FFCC99FF"/>
      <rgbColor rgb="FFF4CCCC"/>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zoomScaleNormal="100" workbookViewId="0"/>
  </sheetViews>
  <sheetFormatPr defaultColWidth="8.6640625" defaultRowHeight="14.4"/>
  <cols>
    <col min="1" max="1" width="4" customWidth="1"/>
    <col min="2" max="2" width="44" customWidth="1"/>
    <col min="3" max="5" width="18" customWidth="1"/>
    <col min="6" max="6" width="60" customWidth="1"/>
  </cols>
  <sheetData>
    <row r="1" spans="1:6" ht="17.850000000000001" customHeight="1">
      <c r="A1" s="11" t="s">
        <v>0</v>
      </c>
      <c r="B1" s="11"/>
      <c r="C1" s="11"/>
      <c r="D1" s="11"/>
      <c r="E1" s="11"/>
      <c r="F1" s="11"/>
    </row>
    <row r="3" spans="1:6" ht="15.6">
      <c r="B3" s="12" t="s">
        <v>1</v>
      </c>
    </row>
    <row r="4" spans="1:6" ht="36" customHeight="1">
      <c r="A4" s="12" t="s">
        <v>2</v>
      </c>
      <c r="B4" s="10" t="s">
        <v>3</v>
      </c>
      <c r="C4" s="10"/>
      <c r="D4" s="10"/>
      <c r="E4" s="10"/>
      <c r="F4" s="10"/>
    </row>
    <row r="5" spans="1:6" ht="36" customHeight="1">
      <c r="A5" s="12" t="s">
        <v>4</v>
      </c>
      <c r="B5" s="10" t="s">
        <v>5</v>
      </c>
      <c r="C5" s="10"/>
      <c r="D5" s="10"/>
      <c r="E5" s="10"/>
      <c r="F5" s="10"/>
    </row>
    <row r="6" spans="1:6" ht="36" customHeight="1">
      <c r="A6" s="12" t="s">
        <v>6</v>
      </c>
      <c r="B6" s="10" t="s">
        <v>7</v>
      </c>
      <c r="C6" s="10"/>
      <c r="D6" s="10"/>
      <c r="E6" s="10"/>
      <c r="F6" s="10"/>
    </row>
    <row r="7" spans="1:6" ht="36" customHeight="1">
      <c r="A7" s="12" t="s">
        <v>8</v>
      </c>
      <c r="B7" s="10" t="s">
        <v>9</v>
      </c>
      <c r="C7" s="10"/>
      <c r="D7" s="10"/>
      <c r="E7" s="10"/>
      <c r="F7" s="10"/>
    </row>
    <row r="8" spans="1:6" ht="36" customHeight="1">
      <c r="A8" s="12" t="s">
        <v>10</v>
      </c>
      <c r="B8" s="10" t="s">
        <v>11</v>
      </c>
      <c r="C8" s="10"/>
      <c r="D8" s="10"/>
      <c r="E8" s="10"/>
      <c r="F8" s="10"/>
    </row>
    <row r="9" spans="1:6" ht="36" customHeight="1">
      <c r="A9" s="12" t="s">
        <v>12</v>
      </c>
      <c r="B9" s="10" t="s">
        <v>13</v>
      </c>
      <c r="C9" s="10"/>
      <c r="D9" s="10"/>
      <c r="E9" s="10"/>
      <c r="F9" s="10"/>
    </row>
    <row r="10" spans="1:6" ht="19.5" customHeight="1">
      <c r="A10" s="12" t="s">
        <v>14</v>
      </c>
      <c r="B10" s="10" t="s">
        <v>15</v>
      </c>
      <c r="C10" s="10"/>
      <c r="D10" s="10"/>
      <c r="E10" s="10"/>
      <c r="F10" s="10"/>
    </row>
    <row r="12" spans="1:6" ht="15.6">
      <c r="B12" s="12" t="s">
        <v>16</v>
      </c>
    </row>
    <row r="13" spans="1:6" ht="15" customHeight="1">
      <c r="B13" s="13" t="s">
        <v>17</v>
      </c>
      <c r="C13" s="10" t="s">
        <v>18</v>
      </c>
      <c r="D13" s="10"/>
      <c r="E13" s="10"/>
      <c r="F13" s="10"/>
    </row>
    <row r="14" spans="1:6" ht="15" customHeight="1">
      <c r="B14" s="14" t="s">
        <v>19</v>
      </c>
      <c r="C14" s="10" t="s">
        <v>20</v>
      </c>
      <c r="D14" s="10"/>
      <c r="E14" s="10"/>
      <c r="F14" s="10"/>
    </row>
    <row r="15" spans="1:6" ht="15" customHeight="1">
      <c r="B15" s="15" t="s">
        <v>21</v>
      </c>
      <c r="C15" s="10" t="s">
        <v>22</v>
      </c>
      <c r="D15" s="10"/>
      <c r="E15" s="10"/>
      <c r="F15" s="10"/>
    </row>
    <row r="16" spans="1:6" ht="15" customHeight="1">
      <c r="B16" s="16" t="s">
        <v>23</v>
      </c>
      <c r="C16" s="10" t="s">
        <v>24</v>
      </c>
      <c r="D16" s="10"/>
      <c r="E16" s="10"/>
      <c r="F16" s="10"/>
    </row>
    <row r="18" spans="2:6" ht="31.2">
      <c r="B18" s="12" t="s">
        <v>25</v>
      </c>
    </row>
    <row r="19" spans="2:6" ht="15.6">
      <c r="B19" s="17" t="s">
        <v>26</v>
      </c>
      <c r="C19" s="17" t="s">
        <v>27</v>
      </c>
      <c r="D19" s="17" t="s">
        <v>28</v>
      </c>
      <c r="E19" s="17" t="s">
        <v>29</v>
      </c>
      <c r="F19" s="17" t="s">
        <v>30</v>
      </c>
    </row>
    <row r="20" spans="2:6" ht="30">
      <c r="B20" s="14" t="s">
        <v>31</v>
      </c>
      <c r="C20" s="13">
        <v>12</v>
      </c>
      <c r="D20" s="18">
        <v>500</v>
      </c>
      <c r="E20" s="19">
        <f>C20*D20</f>
        <v>6000</v>
      </c>
      <c r="F20" s="14" t="s">
        <v>32</v>
      </c>
    </row>
    <row r="21" spans="2:6" ht="15">
      <c r="B21" s="14" t="s">
        <v>33</v>
      </c>
      <c r="C21" s="13">
        <v>6</v>
      </c>
      <c r="D21" s="18">
        <v>350</v>
      </c>
      <c r="E21" s="19">
        <f>C21*D21</f>
        <v>2100</v>
      </c>
      <c r="F21" s="14" t="s">
        <v>34</v>
      </c>
    </row>
    <row r="23" spans="2:6" ht="31.2">
      <c r="B23" s="12" t="s">
        <v>35</v>
      </c>
    </row>
    <row r="24" spans="2:6" ht="31.2">
      <c r="B24" s="17" t="s">
        <v>36</v>
      </c>
      <c r="C24" s="17" t="s">
        <v>37</v>
      </c>
      <c r="D24" s="17" t="s">
        <v>38</v>
      </c>
      <c r="E24" s="17" t="s">
        <v>39</v>
      </c>
      <c r="F24" s="17" t="s">
        <v>40</v>
      </c>
    </row>
    <row r="25" spans="2:6" ht="30">
      <c r="B25" s="14" t="s">
        <v>41</v>
      </c>
      <c r="C25" s="13" t="s">
        <v>42</v>
      </c>
      <c r="D25" s="13">
        <v>20</v>
      </c>
      <c r="E25" s="19">
        <f>D25*75</f>
        <v>1500</v>
      </c>
      <c r="F25" s="14" t="s">
        <v>43</v>
      </c>
    </row>
  </sheetData>
  <mergeCells count="12">
    <mergeCell ref="C15:F15"/>
    <mergeCell ref="C16:F16"/>
    <mergeCell ref="B8:F8"/>
    <mergeCell ref="B9:F9"/>
    <mergeCell ref="B10:F10"/>
    <mergeCell ref="C13:F13"/>
    <mergeCell ref="C14:F14"/>
    <mergeCell ref="A1:F1"/>
    <mergeCell ref="B4:F4"/>
    <mergeCell ref="B5:F5"/>
    <mergeCell ref="B6:F6"/>
    <mergeCell ref="B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92"/>
  <sheetViews>
    <sheetView tabSelected="1" zoomScale="90" zoomScaleNormal="90" workbookViewId="0">
      <pane xSplit="1" ySplit="3" topLeftCell="B25" activePane="bottomRight" state="frozen"/>
      <selection pane="topRight" activeCell="B1" sqref="B1"/>
      <selection pane="bottomLeft" activeCell="A4" sqref="A4"/>
      <selection pane="bottomRight" activeCell="A66" sqref="A66"/>
    </sheetView>
  </sheetViews>
  <sheetFormatPr defaultColWidth="8.6640625" defaultRowHeight="14.4"/>
  <cols>
    <col min="1" max="1" width="52" customWidth="1"/>
    <col min="2" max="4" width="18" customWidth="1"/>
    <col min="5" max="5" width="15" customWidth="1"/>
    <col min="6" max="6" width="70" customWidth="1"/>
  </cols>
  <sheetData>
    <row r="1" spans="1:6" ht="25.5" customHeight="1">
      <c r="A1" s="9" t="s">
        <v>44</v>
      </c>
      <c r="B1" s="9"/>
      <c r="C1" s="9"/>
      <c r="D1" s="9"/>
      <c r="E1" s="9"/>
      <c r="F1" s="9"/>
    </row>
    <row r="2" spans="1:6" ht="49.5" customHeight="1">
      <c r="A2" s="8" t="s">
        <v>45</v>
      </c>
      <c r="B2" s="8"/>
      <c r="C2" s="8"/>
      <c r="D2" s="8"/>
      <c r="E2" s="8"/>
      <c r="F2" s="8"/>
    </row>
    <row r="3" spans="1:6" ht="15" customHeight="1">
      <c r="A3" s="7" t="s">
        <v>46</v>
      </c>
      <c r="B3" s="7"/>
      <c r="C3" s="7"/>
      <c r="D3" s="7"/>
      <c r="E3" s="7"/>
      <c r="F3" s="7"/>
    </row>
    <row r="4" spans="1:6" ht="15.6">
      <c r="A4" s="20" t="s">
        <v>47</v>
      </c>
      <c r="B4" s="6"/>
      <c r="C4" s="6"/>
      <c r="D4" s="6"/>
      <c r="E4" s="5"/>
      <c r="F4" s="5"/>
    </row>
    <row r="5" spans="1:6" ht="15.6">
      <c r="A5" s="20" t="s">
        <v>48</v>
      </c>
      <c r="B5" s="6"/>
      <c r="C5" s="6"/>
      <c r="D5" s="6"/>
      <c r="E5" s="5"/>
      <c r="F5" s="5"/>
    </row>
    <row r="6" spans="1:6" ht="15" customHeight="1">
      <c r="A6" s="20" t="s">
        <v>49</v>
      </c>
      <c r="B6" s="6"/>
      <c r="C6" s="6"/>
      <c r="D6" s="6"/>
      <c r="E6" s="5"/>
      <c r="F6" s="5"/>
    </row>
    <row r="7" spans="1:6" ht="15.6">
      <c r="A7" s="20" t="s">
        <v>50</v>
      </c>
      <c r="B7" s="4"/>
      <c r="C7" s="4"/>
      <c r="D7" s="4"/>
      <c r="E7" s="5"/>
      <c r="F7" s="5"/>
    </row>
    <row r="8" spans="1:6" ht="15.6">
      <c r="A8" s="20" t="s">
        <v>158</v>
      </c>
      <c r="B8" s="6"/>
      <c r="C8" s="6"/>
      <c r="D8" s="6"/>
      <c r="E8" s="5"/>
      <c r="F8" s="5"/>
    </row>
    <row r="10" spans="1:6" ht="15" customHeight="1">
      <c r="A10" s="7" t="s">
        <v>51</v>
      </c>
      <c r="B10" s="7"/>
      <c r="C10" s="7"/>
      <c r="D10" s="7"/>
      <c r="E10" s="7"/>
      <c r="F10" s="7"/>
    </row>
    <row r="11" spans="1:6" ht="15.6">
      <c r="A11" s="24" t="s">
        <v>52</v>
      </c>
      <c r="B11" s="25"/>
      <c r="C11" s="25"/>
      <c r="D11" s="25" t="s">
        <v>53</v>
      </c>
      <c r="E11" s="25"/>
      <c r="F11" s="25" t="s">
        <v>54</v>
      </c>
    </row>
    <row r="12" spans="1:6" ht="15">
      <c r="A12" s="26" t="s">
        <v>55</v>
      </c>
      <c r="B12" s="26"/>
      <c r="C12" s="26"/>
      <c r="D12" s="27">
        <v>10000</v>
      </c>
      <c r="E12" s="26"/>
      <c r="F12" s="22" t="s">
        <v>56</v>
      </c>
    </row>
    <row r="13" spans="1:6" ht="30">
      <c r="A13" s="26" t="s">
        <v>57</v>
      </c>
      <c r="B13" s="26"/>
      <c r="C13" s="26"/>
      <c r="D13" s="27"/>
      <c r="E13" s="26"/>
      <c r="F13" s="22" t="s">
        <v>58</v>
      </c>
    </row>
    <row r="14" spans="1:6" ht="15">
      <c r="A14" s="26" t="s">
        <v>59</v>
      </c>
      <c r="B14" s="26"/>
      <c r="C14" s="26"/>
      <c r="D14" s="28">
        <v>0.37</v>
      </c>
      <c r="E14" s="26"/>
      <c r="F14" s="22" t="s">
        <v>60</v>
      </c>
    </row>
    <row r="15" spans="1:6" ht="15">
      <c r="A15" s="26" t="s">
        <v>61</v>
      </c>
      <c r="B15" s="26"/>
      <c r="C15" s="26"/>
      <c r="D15" s="28">
        <v>0.3</v>
      </c>
      <c r="E15" s="26"/>
      <c r="F15" s="22" t="s">
        <v>62</v>
      </c>
    </row>
    <row r="16" spans="1:6" ht="30">
      <c r="A16" s="26" t="s">
        <v>63</v>
      </c>
      <c r="B16" s="26"/>
      <c r="C16" s="26"/>
      <c r="D16" s="28">
        <v>0.15</v>
      </c>
      <c r="E16" s="26"/>
      <c r="F16" s="22" t="s">
        <v>64</v>
      </c>
    </row>
    <row r="17" spans="1:6" ht="30">
      <c r="A17" s="20" t="s">
        <v>65</v>
      </c>
      <c r="B17" s="26"/>
      <c r="C17" s="26"/>
      <c r="D17" s="29" t="e">
        <f>IF($B$6="Hybrid",#REF!,IF($B$6="Fully Asynchronous",#REF!,0))*N(#REF!)</f>
        <v>#REF!</v>
      </c>
      <c r="E17" s="26"/>
      <c r="F17" s="22" t="s">
        <v>66</v>
      </c>
    </row>
    <row r="19" spans="1:6" ht="15" customHeight="1">
      <c r="A19" s="3" t="s">
        <v>67</v>
      </c>
      <c r="B19" s="3"/>
      <c r="C19" s="3"/>
      <c r="D19" s="3"/>
      <c r="E19" s="3"/>
      <c r="F19" s="3"/>
    </row>
    <row r="20" spans="1:6" ht="15.6">
      <c r="A20" s="31" t="s">
        <v>26</v>
      </c>
      <c r="B20" s="32" t="s">
        <v>68</v>
      </c>
      <c r="C20" s="32" t="s">
        <v>28</v>
      </c>
      <c r="D20" s="32" t="s">
        <v>29</v>
      </c>
      <c r="E20" s="32" t="s">
        <v>69</v>
      </c>
      <c r="F20" s="32" t="s">
        <v>70</v>
      </c>
    </row>
    <row r="21" spans="1:6" ht="30">
      <c r="A21" s="26" t="s">
        <v>71</v>
      </c>
      <c r="B21" s="33"/>
      <c r="C21" s="27" t="e">
        <f>$D$17</f>
        <v>#REF!</v>
      </c>
      <c r="D21" s="34" t="e">
        <f>IF(AND(B21="",C21=""),0,N(B21)*N(C21))</f>
        <v>#REF!</v>
      </c>
      <c r="E21" s="27"/>
      <c r="F21" s="22" t="s">
        <v>72</v>
      </c>
    </row>
    <row r="22" spans="1:6" ht="30">
      <c r="A22" s="26" t="s">
        <v>73</v>
      </c>
      <c r="B22" s="33"/>
      <c r="C22" s="27" t="e">
        <f>$D$17</f>
        <v>#REF!</v>
      </c>
      <c r="D22" s="34" t="e">
        <f>IF(AND(B22="",C22=""),0,N(B22)*N(C22))</f>
        <v>#REF!</v>
      </c>
      <c r="E22" s="27"/>
      <c r="F22" s="22" t="s">
        <v>72</v>
      </c>
    </row>
    <row r="23" spans="1:6" ht="30">
      <c r="A23" s="26" t="s">
        <v>74</v>
      </c>
      <c r="B23" s="33"/>
      <c r="C23" s="27" t="e">
        <f>$D$17</f>
        <v>#REF!</v>
      </c>
      <c r="D23" s="34" t="e">
        <f>IF(AND(B23="",C23=""),0,N(B23)*N(C23))</f>
        <v>#REF!</v>
      </c>
      <c r="E23" s="27"/>
      <c r="F23" s="22" t="s">
        <v>72</v>
      </c>
    </row>
    <row r="24" spans="1:6" ht="15.6">
      <c r="A24" s="30" t="s">
        <v>75</v>
      </c>
      <c r="B24" s="35"/>
      <c r="C24" s="35"/>
      <c r="D24" s="36" t="e">
        <f>SUM(D21:D23)</f>
        <v>#REF!</v>
      </c>
      <c r="E24" s="36">
        <f>SUM(E21:E23)</f>
        <v>0</v>
      </c>
      <c r="F24" s="37"/>
    </row>
    <row r="25" spans="1:6" ht="30">
      <c r="A25" s="38" t="s">
        <v>76</v>
      </c>
      <c r="B25" s="38"/>
      <c r="C25" s="38"/>
      <c r="D25" s="27"/>
      <c r="E25" s="27"/>
      <c r="F25" s="38"/>
    </row>
    <row r="27" spans="1:6" ht="15" customHeight="1">
      <c r="A27" s="2" t="s">
        <v>77</v>
      </c>
      <c r="B27" s="2"/>
      <c r="C27" s="2"/>
      <c r="D27" s="2"/>
      <c r="E27" s="2"/>
      <c r="F27" s="2"/>
    </row>
    <row r="28" spans="1:6" ht="15.6">
      <c r="A28" s="24" t="s">
        <v>26</v>
      </c>
      <c r="B28" s="25" t="s">
        <v>27</v>
      </c>
      <c r="C28" s="25" t="s">
        <v>28</v>
      </c>
      <c r="D28" s="25" t="s">
        <v>29</v>
      </c>
      <c r="E28" s="25" t="s">
        <v>69</v>
      </c>
      <c r="F28" s="25" t="s">
        <v>70</v>
      </c>
    </row>
    <row r="29" spans="1:6" ht="30">
      <c r="A29" s="26" t="s">
        <v>78</v>
      </c>
      <c r="B29" s="33"/>
      <c r="C29" s="27"/>
      <c r="D29" s="34">
        <f>IF(AND(B29="",C29=""),0,N(B29)*N(C29))</f>
        <v>0</v>
      </c>
      <c r="E29" s="27"/>
      <c r="F29" s="22" t="s">
        <v>79</v>
      </c>
    </row>
    <row r="30" spans="1:6" ht="15">
      <c r="A30" s="26" t="s">
        <v>80</v>
      </c>
      <c r="B30" s="26"/>
      <c r="C30" s="26"/>
      <c r="D30" s="34">
        <f>D29*$D$14</f>
        <v>0</v>
      </c>
      <c r="E30" s="27"/>
      <c r="F30" s="22" t="s">
        <v>81</v>
      </c>
    </row>
    <row r="31" spans="1:6" ht="15">
      <c r="A31" s="26" t="s">
        <v>82</v>
      </c>
      <c r="B31" s="33"/>
      <c r="C31" s="27"/>
      <c r="D31" s="34">
        <f t="shared" ref="D31:D36" si="0">IF(AND(B31="",C31=""),0,N(B31)*N(C31))</f>
        <v>0</v>
      </c>
      <c r="E31" s="27"/>
      <c r="F31" s="22" t="s">
        <v>83</v>
      </c>
    </row>
    <row r="32" spans="1:6" ht="15">
      <c r="A32" s="26" t="s">
        <v>84</v>
      </c>
      <c r="B32" s="33"/>
      <c r="C32" s="27"/>
      <c r="D32" s="34">
        <f t="shared" si="0"/>
        <v>0</v>
      </c>
      <c r="E32" s="27"/>
      <c r="F32" s="22" t="s">
        <v>85</v>
      </c>
    </row>
    <row r="33" spans="1:6" ht="15">
      <c r="A33" s="26" t="s">
        <v>86</v>
      </c>
      <c r="B33" s="33"/>
      <c r="C33" s="27"/>
      <c r="D33" s="34">
        <f t="shared" si="0"/>
        <v>0</v>
      </c>
      <c r="E33" s="27"/>
      <c r="F33" s="22" t="s">
        <v>87</v>
      </c>
    </row>
    <row r="34" spans="1:6" ht="15">
      <c r="A34" s="26" t="s">
        <v>88</v>
      </c>
      <c r="B34" s="33"/>
      <c r="C34" s="27"/>
      <c r="D34" s="34">
        <f t="shared" si="0"/>
        <v>0</v>
      </c>
      <c r="E34" s="27"/>
      <c r="F34" s="22" t="s">
        <v>89</v>
      </c>
    </row>
    <row r="35" spans="1:6" ht="15">
      <c r="A35" s="26" t="s">
        <v>90</v>
      </c>
      <c r="B35" s="33"/>
      <c r="C35" s="27"/>
      <c r="D35" s="34">
        <f t="shared" si="0"/>
        <v>0</v>
      </c>
      <c r="E35" s="27"/>
      <c r="F35" s="22" t="s">
        <v>91</v>
      </c>
    </row>
    <row r="36" spans="1:6" ht="15">
      <c r="A36" s="26" t="s">
        <v>92</v>
      </c>
      <c r="B36" s="33"/>
      <c r="C36" s="27"/>
      <c r="D36" s="34">
        <f t="shared" si="0"/>
        <v>0</v>
      </c>
      <c r="E36" s="27"/>
      <c r="F36" s="22" t="s">
        <v>93</v>
      </c>
    </row>
    <row r="37" spans="1:6" ht="15.6">
      <c r="A37" s="39" t="s">
        <v>94</v>
      </c>
      <c r="B37" s="40"/>
      <c r="C37" s="40"/>
      <c r="D37" s="41">
        <f>SUM(D29:D36)</f>
        <v>0</v>
      </c>
      <c r="E37" s="41">
        <f>SUM(E29:E36)</f>
        <v>0</v>
      </c>
      <c r="F37" s="42"/>
    </row>
    <row r="38" spans="1:6" ht="15.6">
      <c r="A38" s="24" t="s">
        <v>95</v>
      </c>
      <c r="B38" s="43"/>
      <c r="C38" s="43"/>
      <c r="D38" s="44">
        <f>$D$12</f>
        <v>10000</v>
      </c>
      <c r="E38" s="44"/>
      <c r="F38" s="45"/>
    </row>
    <row r="39" spans="1:6" ht="15.6">
      <c r="A39" s="24" t="s">
        <v>96</v>
      </c>
      <c r="B39" s="43"/>
      <c r="C39" s="43"/>
      <c r="D39" s="44">
        <f>$D$12-$D$37</f>
        <v>10000</v>
      </c>
      <c r="E39" s="44"/>
      <c r="F39" s="45" t="str">
        <f>IF($D$37&gt;$D$12,"OVER ALLOCATION — reduce Phase 1 costs or request approval.","Within allocation.")</f>
        <v>Within allocation.</v>
      </c>
    </row>
    <row r="41" spans="1:6" ht="15" customHeight="1">
      <c r="A41" s="2" t="s">
        <v>97</v>
      </c>
      <c r="B41" s="2"/>
      <c r="C41" s="2"/>
      <c r="D41" s="2"/>
      <c r="E41" s="2"/>
      <c r="F41" s="2"/>
    </row>
    <row r="42" spans="1:6" ht="33.75" customHeight="1">
      <c r="A42" s="8" t="s">
        <v>98</v>
      </c>
      <c r="B42" s="8"/>
      <c r="C42" s="8"/>
      <c r="D42" s="8"/>
      <c r="E42" s="8"/>
      <c r="F42" s="8"/>
    </row>
    <row r="44" spans="1:6" ht="15" customHeight="1">
      <c r="A44" s="1" t="s">
        <v>99</v>
      </c>
      <c r="B44" s="1"/>
      <c r="C44" s="1"/>
      <c r="D44" s="1"/>
      <c r="E44" s="1"/>
      <c r="F44" s="1"/>
    </row>
    <row r="45" spans="1:6" ht="15.6">
      <c r="A45" s="24" t="s">
        <v>26</v>
      </c>
      <c r="B45" s="25" t="s">
        <v>27</v>
      </c>
      <c r="C45" s="25" t="s">
        <v>28</v>
      </c>
      <c r="D45" s="25" t="s">
        <v>29</v>
      </c>
      <c r="E45" s="25" t="s">
        <v>69</v>
      </c>
      <c r="F45" s="25" t="s">
        <v>70</v>
      </c>
    </row>
    <row r="46" spans="1:6" ht="30">
      <c r="A46" s="26" t="s">
        <v>100</v>
      </c>
      <c r="B46" s="33"/>
      <c r="C46" s="27"/>
      <c r="D46" s="34">
        <f>IF(AND(B46="",C46=""),0,N(B46)*N(C46))</f>
        <v>0</v>
      </c>
      <c r="E46" s="27"/>
      <c r="F46" s="22" t="s">
        <v>101</v>
      </c>
    </row>
    <row r="47" spans="1:6" ht="15">
      <c r="A47" s="26" t="s">
        <v>102</v>
      </c>
      <c r="B47" s="26"/>
      <c r="C47" s="26"/>
      <c r="D47" s="34">
        <f>D46*$D$14</f>
        <v>0</v>
      </c>
      <c r="E47" s="27"/>
      <c r="F47" s="22" t="s">
        <v>103</v>
      </c>
    </row>
    <row r="48" spans="1:6" ht="30">
      <c r="A48" s="26" t="s">
        <v>104</v>
      </c>
      <c r="B48" s="33"/>
      <c r="C48" s="27"/>
      <c r="D48" s="34">
        <f>IF(AND(B48="",C48=""),0,N(B48)*N(C48))</f>
        <v>0</v>
      </c>
      <c r="E48" s="27"/>
      <c r="F48" s="22" t="s">
        <v>105</v>
      </c>
    </row>
    <row r="49" spans="1:6" ht="15">
      <c r="A49" s="26" t="s">
        <v>106</v>
      </c>
      <c r="B49" s="33"/>
      <c r="C49" s="27"/>
      <c r="D49" s="34">
        <f>IF(AND(B49="",C49=""),0,N(B49)*N(C49))</f>
        <v>0</v>
      </c>
      <c r="E49" s="27"/>
      <c r="F49" s="22" t="s">
        <v>107</v>
      </c>
    </row>
    <row r="50" spans="1:6" ht="15">
      <c r="A50" s="26" t="s">
        <v>108</v>
      </c>
      <c r="B50" s="33"/>
      <c r="C50" s="27"/>
      <c r="D50" s="34">
        <f>IF(AND(B50="",C50=""),0,N(B50)*N(C50))</f>
        <v>0</v>
      </c>
      <c r="E50" s="27"/>
      <c r="F50" s="22" t="s">
        <v>109</v>
      </c>
    </row>
    <row r="51" spans="1:6" ht="15">
      <c r="A51" s="26" t="s">
        <v>110</v>
      </c>
      <c r="B51" s="33"/>
      <c r="C51" s="27"/>
      <c r="D51" s="34">
        <f>IF(AND(B51="",C51=""),0,N(B51)*N(C51))</f>
        <v>0</v>
      </c>
      <c r="E51" s="27"/>
      <c r="F51" s="22" t="s">
        <v>111</v>
      </c>
    </row>
    <row r="52" spans="1:6" ht="15">
      <c r="A52" s="26" t="s">
        <v>112</v>
      </c>
      <c r="B52" s="33"/>
      <c r="C52" s="27"/>
      <c r="D52" s="34">
        <f>IF(AND(B52="",C52=""),0,N(B52)*N(C52))</f>
        <v>0</v>
      </c>
      <c r="E52" s="27"/>
      <c r="F52" s="22" t="s">
        <v>93</v>
      </c>
    </row>
    <row r="53" spans="1:6" ht="15.6">
      <c r="A53" s="46" t="s">
        <v>113</v>
      </c>
      <c r="B53" s="38"/>
      <c r="C53" s="38"/>
      <c r="D53" s="47">
        <f>SUM(D46:D52)</f>
        <v>0</v>
      </c>
      <c r="E53" s="47">
        <f>SUM(E46:E52)</f>
        <v>0</v>
      </c>
      <c r="F53" s="48"/>
    </row>
    <row r="55" spans="1:6" ht="15" customHeight="1">
      <c r="A55" s="1" t="s">
        <v>114</v>
      </c>
      <c r="B55" s="1"/>
      <c r="C55" s="1"/>
      <c r="D55" s="49" t="s">
        <v>115</v>
      </c>
      <c r="E55" s="27"/>
      <c r="F55" s="48" t="s">
        <v>116</v>
      </c>
    </row>
    <row r="56" spans="1:6" ht="33.75" customHeight="1">
      <c r="A56" s="8" t="s">
        <v>117</v>
      </c>
      <c r="B56" s="8"/>
      <c r="C56" s="8"/>
      <c r="D56" s="8"/>
      <c r="E56" s="8"/>
      <c r="F56" s="8"/>
    </row>
    <row r="57" spans="1:6" ht="31.2">
      <c r="A57" s="24" t="s">
        <v>118</v>
      </c>
      <c r="B57" s="25" t="s">
        <v>37</v>
      </c>
      <c r="C57" s="25" t="s">
        <v>38</v>
      </c>
      <c r="D57" s="25" t="s">
        <v>29</v>
      </c>
      <c r="E57" s="25" t="s">
        <v>69</v>
      </c>
      <c r="F57" s="25" t="s">
        <v>119</v>
      </c>
    </row>
    <row r="58" spans="1:6" ht="15">
      <c r="A58" s="26" t="s">
        <v>41</v>
      </c>
      <c r="B58" s="50"/>
      <c r="C58" s="23"/>
      <c r="D58" s="34">
        <f t="shared" ref="D58:D65" si="1">IF(B58="Yes",N(C58)*N($E$55),0)</f>
        <v>0</v>
      </c>
      <c r="E58" s="27"/>
      <c r="F58" s="21"/>
    </row>
    <row r="59" spans="1:6" ht="15">
      <c r="A59" s="26" t="s">
        <v>120</v>
      </c>
      <c r="B59" s="50"/>
      <c r="C59" s="23"/>
      <c r="D59" s="34">
        <f t="shared" si="1"/>
        <v>0</v>
      </c>
      <c r="E59" s="27"/>
      <c r="F59" s="21"/>
    </row>
    <row r="60" spans="1:6" ht="15">
      <c r="A60" s="26" t="s">
        <v>121</v>
      </c>
      <c r="B60" s="50"/>
      <c r="C60" s="23"/>
      <c r="D60" s="34">
        <f t="shared" si="1"/>
        <v>0</v>
      </c>
      <c r="E60" s="27"/>
      <c r="F60" s="21"/>
    </row>
    <row r="61" spans="1:6" ht="15">
      <c r="A61" s="26" t="s">
        <v>122</v>
      </c>
      <c r="B61" s="50"/>
      <c r="C61" s="23"/>
      <c r="D61" s="34">
        <f t="shared" si="1"/>
        <v>0</v>
      </c>
      <c r="E61" s="27"/>
      <c r="F61" s="21"/>
    </row>
    <row r="62" spans="1:6" ht="15">
      <c r="A62" s="26" t="s">
        <v>123</v>
      </c>
      <c r="B62" s="50"/>
      <c r="C62" s="23"/>
      <c r="D62" s="34">
        <f t="shared" si="1"/>
        <v>0</v>
      </c>
      <c r="E62" s="27"/>
      <c r="F62" s="21"/>
    </row>
    <row r="63" spans="1:6" ht="15">
      <c r="A63" s="26" t="s">
        <v>124</v>
      </c>
      <c r="B63" s="50"/>
      <c r="C63" s="23"/>
      <c r="D63" s="34">
        <f t="shared" si="1"/>
        <v>0</v>
      </c>
      <c r="E63" s="27"/>
      <c r="F63" s="21"/>
    </row>
    <row r="64" spans="1:6" ht="15">
      <c r="A64" s="26" t="s">
        <v>125</v>
      </c>
      <c r="B64" s="50"/>
      <c r="C64" s="23"/>
      <c r="D64" s="34">
        <f t="shared" si="1"/>
        <v>0</v>
      </c>
      <c r="E64" s="27"/>
      <c r="F64" s="21"/>
    </row>
    <row r="65" spans="1:6" ht="15">
      <c r="A65" s="26" t="s">
        <v>126</v>
      </c>
      <c r="B65" s="50"/>
      <c r="C65" s="23"/>
      <c r="D65" s="34">
        <f t="shared" si="1"/>
        <v>0</v>
      </c>
      <c r="E65" s="27"/>
      <c r="F65" s="21"/>
    </row>
    <row r="66" spans="1:6" ht="30">
      <c r="A66" s="26" t="s">
        <v>127</v>
      </c>
      <c r="B66" s="26"/>
      <c r="C66" s="51">
        <f>SUMIF(B58:B65,"Yes",C58:C65)</f>
        <v>0</v>
      </c>
      <c r="D66" s="34">
        <f>SUM(D58:D65)*$D$14</f>
        <v>0</v>
      </c>
      <c r="E66" s="27"/>
      <c r="F66" s="22" t="s">
        <v>128</v>
      </c>
    </row>
    <row r="67" spans="1:6" ht="15.6">
      <c r="A67" s="46" t="s">
        <v>129</v>
      </c>
      <c r="B67" s="38"/>
      <c r="C67" s="38"/>
      <c r="D67" s="47">
        <f>SUM(D58:D66)</f>
        <v>0</v>
      </c>
      <c r="E67" s="47">
        <f>SUM(E58:E66)</f>
        <v>0</v>
      </c>
      <c r="F67" s="48"/>
    </row>
    <row r="69" spans="1:6" ht="31.2">
      <c r="A69" s="39" t="s">
        <v>130</v>
      </c>
      <c r="B69" s="40"/>
      <c r="C69" s="40"/>
      <c r="D69" s="41">
        <f>IF($B$6="Hybrid",$D$53,IF($B$6="Fully Asynchronous",$D$67,0))</f>
        <v>0</v>
      </c>
      <c r="E69" s="41">
        <f>IF($B$6="Hybrid",$E$53,IF($B$6="Fully Asynchronous",$E$67,0))</f>
        <v>0</v>
      </c>
      <c r="F69" s="42" t="str">
        <f>IF($B$6="","Select a Course Format above to calculate Phase 2.","Uses section "&amp;IF($B$6="Hybrid","2A (Hybrid).","2B (Fully Asynchronous)."))</f>
        <v>Select a Course Format above to calculate Phase 2.</v>
      </c>
    </row>
    <row r="70" spans="1:6" ht="15.6">
      <c r="A70" s="24" t="s">
        <v>131</v>
      </c>
      <c r="B70" s="43"/>
      <c r="C70" s="43"/>
      <c r="D70" s="52" t="str">
        <f>IF($D$13="","TBD",$D$13)</f>
        <v>TBD</v>
      </c>
      <c r="E70" s="44"/>
      <c r="F70" s="45"/>
    </row>
    <row r="71" spans="1:6" ht="15.6">
      <c r="A71" s="24" t="s">
        <v>132</v>
      </c>
      <c r="B71" s="43"/>
      <c r="C71" s="43"/>
      <c r="D71" s="52" t="str">
        <f>IF($D$13="","TBD",$D$13-$D$69)</f>
        <v>TBD</v>
      </c>
      <c r="E71" s="44"/>
      <c r="F71" s="45" t="str">
        <f>IF($D$13="","Awaiting allocation from management team.",IF($D$69&gt;$D$13,"OVER ALLOCATION — reduce delivery costs or request approval.","Within allocation."))</f>
        <v>Awaiting allocation from management team.</v>
      </c>
    </row>
    <row r="73" spans="1:6" ht="15" customHeight="1">
      <c r="A73" s="3" t="s">
        <v>133</v>
      </c>
      <c r="B73" s="3"/>
      <c r="C73" s="3"/>
      <c r="D73" s="3"/>
      <c r="E73" s="3"/>
      <c r="F73" s="3"/>
    </row>
    <row r="74" spans="1:6" ht="15.6">
      <c r="A74" s="24" t="s">
        <v>134</v>
      </c>
      <c r="B74" s="25"/>
      <c r="C74" s="25"/>
      <c r="D74" s="25" t="s">
        <v>29</v>
      </c>
      <c r="E74" s="25" t="s">
        <v>69</v>
      </c>
      <c r="F74" s="25" t="s">
        <v>30</v>
      </c>
    </row>
    <row r="75" spans="1:6" ht="15.6">
      <c r="A75" s="30" t="s">
        <v>75</v>
      </c>
      <c r="B75" s="35"/>
      <c r="C75" s="35"/>
      <c r="D75" s="36" t="e">
        <f>$D$24</f>
        <v>#REF!</v>
      </c>
      <c r="E75" s="36">
        <f>$E$24</f>
        <v>0</v>
      </c>
      <c r="F75" s="37"/>
    </row>
    <row r="76" spans="1:6" ht="15">
      <c r="A76" s="26" t="s">
        <v>135</v>
      </c>
      <c r="B76" s="26"/>
      <c r="C76" s="26"/>
      <c r="D76" s="34">
        <f>$D$69</f>
        <v>0</v>
      </c>
      <c r="E76" s="34">
        <f>$E$69</f>
        <v>0</v>
      </c>
      <c r="F76" s="22"/>
    </row>
    <row r="77" spans="1:6" ht="15">
      <c r="A77" s="26" t="s">
        <v>136</v>
      </c>
      <c r="B77" s="26"/>
      <c r="C77" s="26"/>
      <c r="D77" s="34" t="e">
        <f>$D$24*$D$15</f>
        <v>#REF!</v>
      </c>
      <c r="E77" s="34">
        <f>$E$24*$D$15</f>
        <v>0</v>
      </c>
      <c r="F77" s="22" t="s">
        <v>137</v>
      </c>
    </row>
    <row r="78" spans="1:6" ht="63.75" customHeight="1">
      <c r="A78" s="26" t="s">
        <v>138</v>
      </c>
      <c r="B78" s="26"/>
      <c r="C78" s="26"/>
      <c r="D78" s="34" t="e">
        <f>$D$24*$D$16</f>
        <v>#REF!</v>
      </c>
      <c r="E78" s="34">
        <f>$E$24*$D$16</f>
        <v>0</v>
      </c>
      <c r="F78" s="22" t="s">
        <v>139</v>
      </c>
    </row>
    <row r="79" spans="1:6" ht="15.6">
      <c r="A79" s="39" t="s">
        <v>140</v>
      </c>
      <c r="B79" s="40"/>
      <c r="C79" s="40"/>
      <c r="D79" s="41" t="e">
        <f>D76+D77+D78</f>
        <v>#REF!</v>
      </c>
      <c r="E79" s="41">
        <f>E76+E77+E78</f>
        <v>0</v>
      </c>
      <c r="F79" s="42"/>
    </row>
    <row r="80" spans="1:6" ht="30">
      <c r="A80" s="30" t="s">
        <v>141</v>
      </c>
      <c r="B80" s="35"/>
      <c r="C80" s="35"/>
      <c r="D80" s="36" t="e">
        <f>D75-D79</f>
        <v>#REF!</v>
      </c>
      <c r="E80" s="36">
        <f>E75-E79</f>
        <v>0</v>
      </c>
      <c r="F80" s="37" t="s">
        <v>142</v>
      </c>
    </row>
    <row r="81" spans="1:6" ht="15.6">
      <c r="A81" s="30" t="s">
        <v>143</v>
      </c>
      <c r="B81" s="35"/>
      <c r="C81" s="35"/>
      <c r="D81" s="53" t="e">
        <f>IF(D75=0,0,D80/D75)</f>
        <v>#REF!</v>
      </c>
      <c r="E81" s="53">
        <f>IF(E75=0,0,E80/E75)</f>
        <v>0</v>
      </c>
      <c r="F81" s="37"/>
    </row>
    <row r="82" spans="1:6" ht="15">
      <c r="A82" s="26" t="s">
        <v>144</v>
      </c>
      <c r="B82" s="26"/>
      <c r="C82" s="26"/>
      <c r="D82" s="34">
        <f>$D$37</f>
        <v>0</v>
      </c>
      <c r="E82" s="34">
        <f>$E$37</f>
        <v>0</v>
      </c>
      <c r="F82" s="22" t="s">
        <v>145</v>
      </c>
    </row>
    <row r="83" spans="1:6" ht="15.6">
      <c r="A83" s="30" t="s">
        <v>146</v>
      </c>
      <c r="B83" s="35"/>
      <c r="C83" s="35"/>
      <c r="D83" s="36" t="e">
        <f>D80-D82</f>
        <v>#REF!</v>
      </c>
      <c r="E83" s="36">
        <f>E80-E82</f>
        <v>0</v>
      </c>
      <c r="F83" s="37" t="s">
        <v>147</v>
      </c>
    </row>
    <row r="85" spans="1:6" ht="15" customHeight="1">
      <c r="A85" s="7" t="s">
        <v>148</v>
      </c>
      <c r="B85" s="7"/>
      <c r="C85" s="7"/>
      <c r="D85" s="7"/>
      <c r="E85" s="7"/>
      <c r="F85" s="7"/>
    </row>
    <row r="86" spans="1:6" ht="46.8">
      <c r="A86" s="24" t="s">
        <v>149</v>
      </c>
      <c r="B86" s="25" t="s">
        <v>150</v>
      </c>
      <c r="C86" s="25" t="s">
        <v>151</v>
      </c>
      <c r="D86" s="25" t="s">
        <v>152</v>
      </c>
      <c r="E86" s="25" t="s">
        <v>153</v>
      </c>
      <c r="F86" s="25" t="s">
        <v>154</v>
      </c>
    </row>
    <row r="87" spans="1:6" ht="15">
      <c r="A87" s="21"/>
      <c r="B87" s="27"/>
      <c r="C87" s="27"/>
      <c r="D87" s="34">
        <f>N(B87)+N(C87)</f>
        <v>0</v>
      </c>
      <c r="E87" s="34">
        <f>D87*$D$14</f>
        <v>0</v>
      </c>
      <c r="F87" s="21"/>
    </row>
    <row r="88" spans="1:6" ht="15">
      <c r="A88" s="21"/>
      <c r="B88" s="27"/>
      <c r="C88" s="27"/>
      <c r="D88" s="34">
        <f>N(B88)+N(C88)</f>
        <v>0</v>
      </c>
      <c r="E88" s="34">
        <f>D88*$D$14</f>
        <v>0</v>
      </c>
      <c r="F88" s="21"/>
    </row>
    <row r="89" spans="1:6" ht="15">
      <c r="A89" s="21"/>
      <c r="B89" s="27"/>
      <c r="C89" s="27"/>
      <c r="D89" s="34">
        <f>N(B89)+N(C89)</f>
        <v>0</v>
      </c>
      <c r="E89" s="34">
        <f>D89*$D$14</f>
        <v>0</v>
      </c>
      <c r="F89" s="21"/>
    </row>
    <row r="90" spans="1:6" ht="15">
      <c r="A90" s="21"/>
      <c r="B90" s="27"/>
      <c r="C90" s="27"/>
      <c r="D90" s="34">
        <f>N(B90)+N(C90)</f>
        <v>0</v>
      </c>
      <c r="E90" s="34">
        <f>D90*$D$14</f>
        <v>0</v>
      </c>
      <c r="F90" s="21"/>
    </row>
    <row r="91" spans="1:6" ht="15.6">
      <c r="A91" s="24" t="s">
        <v>155</v>
      </c>
      <c r="B91" s="44">
        <f>SUM(B87:B90)</f>
        <v>0</v>
      </c>
      <c r="C91" s="44">
        <f>SUM(C87:C90)</f>
        <v>0</v>
      </c>
      <c r="D91" s="44">
        <f>SUM(D87:D90)</f>
        <v>0</v>
      </c>
      <c r="E91" s="44">
        <f>SUM(E87:E90)</f>
        <v>0</v>
      </c>
      <c r="F91" s="43"/>
    </row>
    <row r="92" spans="1:6" ht="31.2">
      <c r="A92" s="54" t="s">
        <v>156</v>
      </c>
      <c r="B92" s="55" t="str">
        <f>IF(ROUND(B91-D29,2)=0,"✓ Matches","≠ Phase 1 salary line")</f>
        <v>✓ Matches</v>
      </c>
      <c r="C92" s="55" t="str">
        <f>IF(ROUND(C91-IF($B$6="Hybrid",D46,IF($B$6="Fully Asynchronous",SUM(D58:D65),0)),2)=0,"✓ Matches","≠ Phase 2 faculty costs")</f>
        <v>✓ Matches</v>
      </c>
      <c r="D92" s="26"/>
      <c r="E92" s="26"/>
      <c r="F92" s="56" t="s">
        <v>157</v>
      </c>
    </row>
  </sheetData>
  <mergeCells count="23">
    <mergeCell ref="A55:C55"/>
    <mergeCell ref="A56:F56"/>
    <mergeCell ref="A73:F73"/>
    <mergeCell ref="A85:F85"/>
    <mergeCell ref="A19:F19"/>
    <mergeCell ref="A27:F27"/>
    <mergeCell ref="A41:F41"/>
    <mergeCell ref="A42:F42"/>
    <mergeCell ref="A44:F44"/>
    <mergeCell ref="B7:D7"/>
    <mergeCell ref="E7:F7"/>
    <mergeCell ref="B8:D8"/>
    <mergeCell ref="E8:F8"/>
    <mergeCell ref="A10:F10"/>
    <mergeCell ref="B5:D5"/>
    <mergeCell ref="E5:F5"/>
    <mergeCell ref="B6:D6"/>
    <mergeCell ref="E6:F6"/>
    <mergeCell ref="A1:F1"/>
    <mergeCell ref="A2:F2"/>
    <mergeCell ref="A3:F3"/>
    <mergeCell ref="B4:D4"/>
    <mergeCell ref="E4:F4"/>
  </mergeCells>
  <conditionalFormatting sqref="A44:F53">
    <cfRule type="expression" dxfId="10" priority="2">
      <formula>$B$6="Fully Asynchronous"</formula>
    </cfRule>
  </conditionalFormatting>
  <conditionalFormatting sqref="A55:F67">
    <cfRule type="expression" dxfId="9" priority="3">
      <formula>$B$6="Hybrid"</formula>
    </cfRule>
  </conditionalFormatting>
  <conditionalFormatting sqref="F39">
    <cfRule type="expression" dxfId="8" priority="4">
      <formula>LEFT(F39,4)="OVER"</formula>
    </cfRule>
    <cfRule type="expression" dxfId="7" priority="5">
      <formula>LEFT(F39,6)="Within"</formula>
    </cfRule>
  </conditionalFormatting>
  <conditionalFormatting sqref="F71">
    <cfRule type="expression" dxfId="6" priority="6">
      <formula>LEFT(F71,4)="OVER"</formula>
    </cfRule>
    <cfRule type="expression" dxfId="5" priority="7">
      <formula>LEFT(F71,6)="Within"</formula>
    </cfRule>
  </conditionalFormatting>
  <conditionalFormatting sqref="B92">
    <cfRule type="expression" dxfId="4" priority="8">
      <formula>LEFT(B92,1)="≠"</formula>
    </cfRule>
    <cfRule type="expression" dxfId="3" priority="9">
      <formula>LEFT(B92,1)="✓"</formula>
    </cfRule>
  </conditionalFormatting>
  <conditionalFormatting sqref="C92">
    <cfRule type="expression" dxfId="2" priority="10">
      <formula>LEFT(C92,1)="≠"</formula>
    </cfRule>
    <cfRule type="expression" dxfId="1" priority="11">
      <formula>LEFT(C92,1)="✓"</formula>
    </cfRule>
  </conditionalFormatting>
  <conditionalFormatting sqref="D13">
    <cfRule type="expression" dxfId="0" priority="12">
      <formula>D13=""</formula>
    </cfRule>
  </conditionalFormatting>
  <dataValidations count="2">
    <dataValidation type="list" allowBlank="1" showErrorMessage="1" errorTitle="Course Format" error="Choose Hybrid or Fully Asynchronous." sqref="B6" xr:uid="{00000000-0002-0000-0100-000000000000}">
      <formula1>"Hybrid,Fully Asynchronous"</formula1>
      <formula2>0</formula2>
    </dataValidation>
    <dataValidation type="list" allowBlank="1" sqref="B58:B65" xr:uid="{00000000-0002-0000-0100-000001000000}">
      <formula1>"Yes,No"</formula1>
      <formula2>0</formula2>
    </dataValidation>
  </dataValidations>
  <pageMargins left="0.75" right="0.75" top="1" bottom="1" header="0.511811023622047" footer="0.511811023622047"/>
  <pageSetup fitToHeight="0"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Budget Worksheet</vt:lpstr>
      <vt:lpstr>'Budget Worksheet'!Print_Area</vt:lpstr>
      <vt:lpstr>'Budget Worksheet'!Print_Titles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bazazf@georgetown.mei.georgetown.edu</cp:lastModifiedBy>
  <cp:revision>0</cp:revision>
  <dcterms:created xsi:type="dcterms:W3CDTF">2026-10-20T15:15:58Z</dcterms:created>
  <dcterms:modified xsi:type="dcterms:W3CDTF">2026-10-20T15:23:40Z</dcterms:modified>
  <dc:language>en-US</dc:language>
</cp:coreProperties>
</file>